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8_{44F0E303-9D16-F041-9BF1-BC4CAE0BEDF4}" xr6:coauthVersionLast="47" xr6:coauthVersionMax="47" xr10:uidLastSave="{00000000-0000-0000-0000-000000000000}"/>
  <bookViews>
    <workbookView xWindow="0" yWindow="660" windowWidth="34560" windowHeight="21680" xr2:uid="{924581BB-33D1-DD46-A8CC-0A0848AB6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9" i="1"/>
  <c r="F38" i="1"/>
  <c r="F36" i="1"/>
  <c r="F37" i="1"/>
  <c r="F35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16" i="1"/>
  <c r="F17" i="1"/>
  <c r="F14" i="1"/>
  <c r="F15" i="1"/>
  <c r="F13" i="1"/>
  <c r="F12" i="1"/>
  <c r="F11" i="1"/>
  <c r="F10" i="1"/>
  <c r="F9" i="1"/>
  <c r="F8" i="1"/>
  <c r="F5" i="1"/>
  <c r="F6" i="1"/>
  <c r="F7" i="1"/>
  <c r="F4" i="1"/>
  <c r="F3" i="1"/>
  <c r="F2" i="1"/>
</calcChain>
</file>

<file path=xl/sharedStrings.xml><?xml version="1.0" encoding="utf-8"?>
<sst xmlns="http://schemas.openxmlformats.org/spreadsheetml/2006/main" count="252" uniqueCount="67">
  <si>
    <t>Name of file</t>
  </si>
  <si>
    <t>Ground truth</t>
  </si>
  <si>
    <t>Sigma</t>
  </si>
  <si>
    <t>Clog time</t>
  </si>
  <si>
    <t>Classifications</t>
  </si>
  <si>
    <t>Sampling time</t>
  </si>
  <si>
    <t>Rolling mean time</t>
  </si>
  <si>
    <t>Notes</t>
  </si>
  <si>
    <t>Experiment 2 folder</t>
  </si>
  <si>
    <t>Clogging</t>
  </si>
  <si>
    <t>True positive</t>
  </si>
  <si>
    <t>60 seconds</t>
  </si>
  <si>
    <t>60 s</t>
  </si>
  <si>
    <t>150 seconds</t>
  </si>
  <si>
    <t>300 seconds</t>
  </si>
  <si>
    <t xml:space="preserve">Seems like sigma 3 is a little early. </t>
  </si>
  <si>
    <t>Crossing time FFT</t>
  </si>
  <si>
    <t xml:space="preserve">Crossing time PD </t>
  </si>
  <si>
    <t>More accurate</t>
  </si>
  <si>
    <t>Even better</t>
  </si>
  <si>
    <t>Good timing?</t>
  </si>
  <si>
    <t>Better</t>
  </si>
  <si>
    <t>Experiment 1 folder</t>
  </si>
  <si>
    <t>No clog</t>
  </si>
  <si>
    <t>Lead time(FFT )</t>
  </si>
  <si>
    <t>No crossing</t>
  </si>
  <si>
    <t>False Positive</t>
  </si>
  <si>
    <t xml:space="preserve">False positive on a non clogging </t>
  </si>
  <si>
    <t xml:space="preserve">Missing missing missing, sigma 8 gave me not a cross. </t>
  </si>
  <si>
    <t>False positive</t>
  </si>
  <si>
    <t xml:space="preserve">The pressure difference was not crossed however so this should be good enough </t>
  </si>
  <si>
    <t>27-01-23-LF.xlsx</t>
  </si>
  <si>
    <t>Crossing</t>
  </si>
  <si>
    <t>Need to check if it correct</t>
  </si>
  <si>
    <t>06-12-LF.xlsx</t>
  </si>
  <si>
    <t>?</t>
  </si>
  <si>
    <t>Interesting results. Seems like the the thre is 3 spikes in the data feed, maybe there is supposed to be 3 different runs ?</t>
  </si>
  <si>
    <t>Look at image to the right</t>
  </si>
  <si>
    <t>Sigma 3</t>
  </si>
  <si>
    <t>150 seconds baseline</t>
  </si>
  <si>
    <t>Should i remove the start phase and see what the result returns as??</t>
  </si>
  <si>
    <t>Clog?</t>
  </si>
  <si>
    <t>clog</t>
  </si>
  <si>
    <t>15-03-LF.xlsx</t>
  </si>
  <si>
    <t>SKIP FOR NOW</t>
  </si>
  <si>
    <t>Weird file setup</t>
  </si>
  <si>
    <t>13-10-LF-xlsx</t>
  </si>
  <si>
    <t>Multiple clog times? Look at image</t>
  </si>
  <si>
    <t xml:space="preserve">00:01:25 or 00:32:46 </t>
  </si>
  <si>
    <t>18-11-LF.xlsx</t>
  </si>
  <si>
    <t>multiple clogs</t>
  </si>
  <si>
    <t xml:space="preserve">From what i can see there is multiple </t>
  </si>
  <si>
    <t>From what i can see there is a spike at the beginning and a small spike at the end. Unclear what it is. Images to the right --&gt;</t>
  </si>
  <si>
    <t>I think no clogging!</t>
  </si>
  <si>
    <t>01-10-xlsx</t>
  </si>
  <si>
    <t>Can already see that i should modify this one the flow rate increases</t>
  </si>
  <si>
    <t>01-10-xlsx modified</t>
  </si>
  <si>
    <t>After i removed the starting procedure the results where giving me clear clogging details</t>
  </si>
  <si>
    <t>14-07-lf-xl</t>
  </si>
  <si>
    <t>Pressure difference was quite different from sigma 3 and 5</t>
  </si>
  <si>
    <t>Pressure was there for</t>
  </si>
  <si>
    <t>Looks like 3-4 different runs, this is for the first crossing,</t>
  </si>
  <si>
    <t>7-12.xlsx</t>
  </si>
  <si>
    <t>Seems like there is a singular clog at det end</t>
  </si>
  <si>
    <t>07-07-LF.xlsx</t>
  </si>
  <si>
    <t>Seems like there are multiple runs in this file, not sure if it is clogging, might need to sanitize the start, many files have a higher flow rate than usual</t>
  </si>
  <si>
    <t>25-03-LF.xlsx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</si>
</sst>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525517</xdr:colOff>
      <xdr:row>5</xdr:row>
      <xdr:rowOff>164224</xdr:rowOff>
    </xdr:from>
    <xdr:to>
      <xdr:col>27</xdr:col>
      <xdr:colOff>458951</xdr:colOff>
      <xdr:row>25</xdr:row>
      <xdr:rowOff>144079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305BF-6F04-4226-9695-7BE2875D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09741" y="1204310"/>
          <a:ext cx="6502400" cy="4140200"/>
        </a:xfrm>
        <a:prstGeom prst="rect">
          <a:avLst/>
        </a:prstGeom>
      </xdr:spPr>
    </xdr:pic>
    <xdr:clientData/>
  </xdr:twoCellAnchor>
  <xdr:twoCellAnchor editAs="oneCell">
    <xdr:from>
      <xdr:col>28</xdr:col>
      <xdr:colOff>120431</xdr:colOff>
      <xdr:row>5</xdr:row>
      <xdr:rowOff>164224</xdr:rowOff>
    </xdr:from>
    <xdr:to>
      <xdr:col>35</xdr:col>
      <xdr:colOff>773386</xdr:colOff>
      <xdr:row>25</xdr:row>
      <xdr:rowOff>156779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615DB-0DC0-3BA9-FAC0-B6ACE1B80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94741" y="1204310"/>
          <a:ext cx="6400800" cy="4152900"/>
        </a:xfrm>
        <a:prstGeom prst="rect">
          <a:avLst/>
        </a:prstGeom>
      </xdr:spPr>
    </xdr:pic>
    <xdr:clientData/>
  </xdr:twoCellAnchor>
  <xdr:twoCellAnchor editAs="oneCell">
    <xdr:from>
      <xdr:col>19</xdr:col>
      <xdr:colOff>569311</xdr:colOff>
      <xdr:row>27</xdr:row>
      <xdr:rowOff>186120</xdr:rowOff>
    </xdr:from>
    <xdr:to>
      <xdr:col>27</xdr:col>
      <xdr:colOff>744045</xdr:colOff>
      <xdr:row>55</xdr:row>
      <xdr:rowOff>102038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F10837-ADAC-33F2-D0F0-D3A325D5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53535" y="5802586"/>
          <a:ext cx="6743700" cy="5740400"/>
        </a:xfrm>
        <a:prstGeom prst="rect">
          <a:avLst/>
        </a:prstGeom>
      </xdr:spPr>
    </xdr:pic>
    <xdr:clientData/>
  </xdr:twoCellAnchor>
  <xdr:twoCellAnchor editAs="oneCell">
    <xdr:from>
      <xdr:col>28</xdr:col>
      <xdr:colOff>350345</xdr:colOff>
      <xdr:row>56</xdr:row>
      <xdr:rowOff>120431</xdr:rowOff>
    </xdr:from>
    <xdr:to>
      <xdr:col>36</xdr:col>
      <xdr:colOff>258379</xdr:colOff>
      <xdr:row>76</xdr:row>
      <xdr:rowOff>151087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EDC984-3D4B-DA5A-C178-A01D77AE3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24655" y="11769397"/>
          <a:ext cx="6477000" cy="41910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120431</xdr:colOff>
      <xdr:row>56</xdr:row>
      <xdr:rowOff>175172</xdr:rowOff>
    </xdr:from>
    <xdr:to>
      <xdr:col>27</xdr:col>
      <xdr:colOff>747986</xdr:colOff>
      <xdr:row>76</xdr:row>
      <xdr:rowOff>142328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BB31985-7F8E-0786-9E68-3C7678272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25776" y="11824138"/>
          <a:ext cx="6375400" cy="4127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109483</xdr:colOff>
      <xdr:row>76</xdr:row>
      <xdr:rowOff>208017</xdr:rowOff>
    </xdr:from>
    <xdr:to>
      <xdr:col>27</xdr:col>
      <xdr:colOff>660838</xdr:colOff>
      <xdr:row>97</xdr:row>
      <xdr:rowOff>30655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2D55E0-C452-89D8-BF78-A7A11A37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14828" y="16017327"/>
          <a:ext cx="6299200" cy="4191000"/>
        </a:xfrm>
        <a:prstGeom prst="rect">
          <a:avLst/>
        </a:prstGeom>
      </xdr:spPr>
    </xdr:pic>
    <xdr:clientData/>
  </xdr:twoCellAnchor>
  <xdr:twoCellAnchor editAs="oneCell">
    <xdr:from>
      <xdr:col>20</xdr:col>
      <xdr:colOff>65689</xdr:colOff>
      <xdr:row>97</xdr:row>
      <xdr:rowOff>175174</xdr:rowOff>
    </xdr:from>
    <xdr:to>
      <xdr:col>28</xdr:col>
      <xdr:colOff>75324</xdr:colOff>
      <xdr:row>126</xdr:row>
      <xdr:rowOff>35474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2D0216-E4E5-C873-ADB5-F34F009A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371034" y="20352846"/>
          <a:ext cx="6578600" cy="5892800"/>
        </a:xfrm>
        <a:prstGeom prst="rect">
          <a:avLst/>
        </a:prstGeom>
      </xdr:spPr>
    </xdr:pic>
    <xdr:clientData/>
  </xdr:twoCellAnchor>
  <xdr:twoCellAnchor editAs="oneCell">
    <xdr:from>
      <xdr:col>20</xdr:col>
      <xdr:colOff>43794</xdr:colOff>
      <xdr:row>127</xdr:row>
      <xdr:rowOff>131378</xdr:rowOff>
    </xdr:from>
    <xdr:to>
      <xdr:col>27</xdr:col>
      <xdr:colOff>696749</xdr:colOff>
      <xdr:row>165</xdr:row>
      <xdr:rowOff>24523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06A80D-2497-F637-72AD-6DB47FC3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349139" y="26549568"/>
          <a:ext cx="6400800" cy="779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4324-62F1-D642-8213-F586B6206435}">
  <dimension ref="A1:AD138"/>
  <sheetViews>
    <sheetView tabSelected="1" topLeftCell="A15" zoomScale="116" workbookViewId="0">
      <selection activeCell="G54" sqref="G54"/>
    </sheetView>
  </sheetViews>
  <sheetFormatPr baseColWidth="10" defaultRowHeight="16" x14ac:dyDescent="0.2"/>
  <cols>
    <col min="1" max="1" width="16.83203125" bestFit="1" customWidth="1"/>
    <col min="2" max="2" width="11.83203125" customWidth="1"/>
    <col min="4" max="4" width="28.5" bestFit="1" customWidth="1"/>
    <col min="5" max="5" width="15.33203125" bestFit="1" customWidth="1"/>
    <col min="6" max="6" width="19" customWidth="1"/>
    <col min="7" max="7" width="28.5" bestFit="1" customWidth="1"/>
    <col min="8" max="8" width="13.1640625" bestFit="1" customWidth="1"/>
    <col min="9" max="9" width="12.5" bestFit="1" customWidth="1"/>
    <col min="10" max="10" width="15.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24</v>
      </c>
      <c r="G1" t="s">
        <v>17</v>
      </c>
      <c r="H1" t="s">
        <v>4</v>
      </c>
      <c r="I1" t="s">
        <v>5</v>
      </c>
      <c r="J1" t="s">
        <v>6</v>
      </c>
      <c r="K1" t="s">
        <v>7</v>
      </c>
    </row>
    <row r="2" spans="1:30" x14ac:dyDescent="0.2">
      <c r="A2" t="s">
        <v>8</v>
      </c>
      <c r="B2" t="s">
        <v>9</v>
      </c>
      <c r="C2">
        <v>3</v>
      </c>
      <c r="D2" s="2">
        <v>0.13472222222222222</v>
      </c>
      <c r="E2" s="2">
        <v>2.5162037037037038E-2</v>
      </c>
      <c r="F2" s="2">
        <f>D2-E2</f>
        <v>0.10956018518518518</v>
      </c>
      <c r="G2" s="1">
        <v>0.12392361111111111</v>
      </c>
      <c r="H2" t="s">
        <v>10</v>
      </c>
      <c r="I2" t="s">
        <v>11</v>
      </c>
      <c r="J2" t="s">
        <v>12</v>
      </c>
      <c r="K2" t="s">
        <v>15</v>
      </c>
    </row>
    <row r="3" spans="1:30" x14ac:dyDescent="0.2">
      <c r="A3" t="s">
        <v>8</v>
      </c>
      <c r="B3" t="s">
        <v>9</v>
      </c>
      <c r="C3">
        <v>3</v>
      </c>
      <c r="D3" s="2">
        <v>0.13472222222222222</v>
      </c>
      <c r="E3" s="2">
        <v>6.6759259259259254E-2</v>
      </c>
      <c r="F3" s="2">
        <f>D3-E3</f>
        <v>6.7962962962962961E-2</v>
      </c>
      <c r="G3" s="1">
        <v>0.1238888888888889</v>
      </c>
      <c r="H3" t="s">
        <v>10</v>
      </c>
      <c r="I3" t="s">
        <v>13</v>
      </c>
      <c r="J3" t="s">
        <v>12</v>
      </c>
      <c r="K3" t="s">
        <v>18</v>
      </c>
    </row>
    <row r="4" spans="1:30" x14ac:dyDescent="0.2">
      <c r="A4" t="s">
        <v>8</v>
      </c>
      <c r="B4" t="s">
        <v>9</v>
      </c>
      <c r="C4">
        <v>3</v>
      </c>
      <c r="D4" s="2">
        <v>0.13472222222222222</v>
      </c>
      <c r="E4" s="1">
        <v>6.8865740740740741E-2</v>
      </c>
      <c r="F4" s="2">
        <f>D4-E4</f>
        <v>6.5856481481481474E-2</v>
      </c>
      <c r="G4" s="1">
        <v>0.1238888888888889</v>
      </c>
      <c r="H4" t="s">
        <v>10</v>
      </c>
      <c r="I4" t="s">
        <v>14</v>
      </c>
      <c r="J4" t="s">
        <v>12</v>
      </c>
      <c r="K4" t="s">
        <v>19</v>
      </c>
    </row>
    <row r="5" spans="1:30" x14ac:dyDescent="0.2">
      <c r="A5" t="s">
        <v>8</v>
      </c>
      <c r="B5" t="s">
        <v>9</v>
      </c>
      <c r="C5">
        <v>5</v>
      </c>
      <c r="D5" s="2">
        <v>0.13472222222222222</v>
      </c>
      <c r="E5" s="1">
        <v>0.11552083333333334</v>
      </c>
      <c r="F5" s="2">
        <f t="shared" ref="F5:F7" si="0">D5-E5</f>
        <v>1.9201388888888879E-2</v>
      </c>
      <c r="G5" s="1">
        <v>0.12518518518518518</v>
      </c>
      <c r="H5" t="s">
        <v>10</v>
      </c>
      <c r="I5" t="s">
        <v>11</v>
      </c>
      <c r="J5" t="s">
        <v>12</v>
      </c>
      <c r="K5" t="s">
        <v>20</v>
      </c>
      <c r="V5" t="s">
        <v>38</v>
      </c>
      <c r="AD5" t="s">
        <v>39</v>
      </c>
    </row>
    <row r="6" spans="1:30" x14ac:dyDescent="0.2">
      <c r="A6" t="s">
        <v>8</v>
      </c>
      <c r="B6" t="s">
        <v>9</v>
      </c>
      <c r="C6">
        <v>5</v>
      </c>
      <c r="D6" s="2">
        <v>0.13472222222222222</v>
      </c>
      <c r="E6" s="1">
        <v>0.10685185185185185</v>
      </c>
      <c r="F6" s="2">
        <f t="shared" si="0"/>
        <v>2.7870370370370365E-2</v>
      </c>
      <c r="G6" s="1">
        <v>0.12512731481481482</v>
      </c>
      <c r="H6" t="s">
        <v>10</v>
      </c>
      <c r="I6" t="s">
        <v>13</v>
      </c>
      <c r="J6" t="s">
        <v>12</v>
      </c>
      <c r="K6" t="s">
        <v>21</v>
      </c>
    </row>
    <row r="7" spans="1:30" x14ac:dyDescent="0.2">
      <c r="A7" t="s">
        <v>8</v>
      </c>
      <c r="B7" t="s">
        <v>9</v>
      </c>
      <c r="C7">
        <v>5</v>
      </c>
      <c r="D7" s="2">
        <v>0.13472222222222222</v>
      </c>
      <c r="E7" s="1">
        <v>0.10737268518518518</v>
      </c>
      <c r="F7" s="2">
        <f t="shared" si="0"/>
        <v>2.7349537037037033E-2</v>
      </c>
      <c r="G7" s="1">
        <v>0.12512731481481482</v>
      </c>
      <c r="H7" t="s">
        <v>10</v>
      </c>
      <c r="I7" t="s">
        <v>14</v>
      </c>
      <c r="J7" t="s">
        <v>12</v>
      </c>
      <c r="K7" t="s">
        <v>21</v>
      </c>
    </row>
    <row r="8" spans="1:30" x14ac:dyDescent="0.2">
      <c r="A8" t="s">
        <v>22</v>
      </c>
      <c r="B8" t="s">
        <v>23</v>
      </c>
      <c r="C8">
        <v>3</v>
      </c>
      <c r="D8" s="1">
        <v>0</v>
      </c>
      <c r="E8" s="1">
        <v>4.2824074074074077E-2</v>
      </c>
      <c r="F8" s="2">
        <f>D8-E8</f>
        <v>-4.2824074074074077E-2</v>
      </c>
      <c r="G8" t="s">
        <v>25</v>
      </c>
      <c r="H8" t="s">
        <v>26</v>
      </c>
      <c r="I8" t="s">
        <v>11</v>
      </c>
      <c r="J8" t="s">
        <v>12</v>
      </c>
      <c r="K8" t="s">
        <v>27</v>
      </c>
    </row>
    <row r="9" spans="1:30" x14ac:dyDescent="0.2">
      <c r="A9" t="s">
        <v>22</v>
      </c>
      <c r="B9" t="s">
        <v>23</v>
      </c>
      <c r="C9">
        <v>3</v>
      </c>
      <c r="D9" s="1">
        <v>0</v>
      </c>
      <c r="E9" s="1">
        <v>2.7650462962962963E-2</v>
      </c>
      <c r="F9" s="2">
        <f>D9-E9</f>
        <v>-2.7650462962962963E-2</v>
      </c>
      <c r="G9" t="s">
        <v>25</v>
      </c>
      <c r="H9" t="s">
        <v>26</v>
      </c>
      <c r="I9" t="s">
        <v>13</v>
      </c>
      <c r="J9" t="s">
        <v>12</v>
      </c>
      <c r="K9" t="s">
        <v>28</v>
      </c>
    </row>
    <row r="10" spans="1:30" x14ac:dyDescent="0.2">
      <c r="A10" t="s">
        <v>22</v>
      </c>
      <c r="B10" t="s">
        <v>23</v>
      </c>
      <c r="C10">
        <v>3</v>
      </c>
      <c r="D10" s="1">
        <v>0</v>
      </c>
      <c r="E10" s="1">
        <v>4.2824074074074077E-2</v>
      </c>
      <c r="F10" s="2">
        <f>D10-E10</f>
        <v>-4.2824074074074077E-2</v>
      </c>
      <c r="G10" t="s">
        <v>25</v>
      </c>
      <c r="H10" t="s">
        <v>26</v>
      </c>
      <c r="I10" t="s">
        <v>14</v>
      </c>
      <c r="J10" t="s">
        <v>12</v>
      </c>
      <c r="K10" t="s">
        <v>30</v>
      </c>
    </row>
    <row r="11" spans="1:30" x14ac:dyDescent="0.2">
      <c r="A11" t="s">
        <v>22</v>
      </c>
      <c r="B11" t="s">
        <v>23</v>
      </c>
      <c r="C11">
        <v>5</v>
      </c>
      <c r="D11" s="1">
        <v>0</v>
      </c>
      <c r="E11" s="1">
        <v>4.3263888888888886E-2</v>
      </c>
      <c r="F11" s="2">
        <f t="shared" ref="F11:F35" si="1">D11-E11</f>
        <v>-4.3263888888888886E-2</v>
      </c>
      <c r="G11" t="s">
        <v>25</v>
      </c>
      <c r="H11" t="s">
        <v>26</v>
      </c>
      <c r="I11" t="s">
        <v>11</v>
      </c>
      <c r="J11" t="s">
        <v>12</v>
      </c>
    </row>
    <row r="12" spans="1:30" x14ac:dyDescent="0.2">
      <c r="A12" t="s">
        <v>22</v>
      </c>
      <c r="B12" t="s">
        <v>23</v>
      </c>
      <c r="C12">
        <v>5</v>
      </c>
      <c r="D12" s="1">
        <v>0</v>
      </c>
      <c r="E12" s="1">
        <v>4.3194444444444445E-2</v>
      </c>
      <c r="F12" s="2">
        <f t="shared" si="1"/>
        <v>-4.3194444444444445E-2</v>
      </c>
      <c r="G12" t="s">
        <v>25</v>
      </c>
      <c r="H12" t="s">
        <v>26</v>
      </c>
      <c r="I12" t="s">
        <v>13</v>
      </c>
      <c r="J12" t="s">
        <v>12</v>
      </c>
    </row>
    <row r="13" spans="1:30" x14ac:dyDescent="0.2">
      <c r="A13" t="s">
        <v>22</v>
      </c>
      <c r="B13" t="s">
        <v>23</v>
      </c>
      <c r="C13">
        <v>5</v>
      </c>
      <c r="D13" s="1">
        <v>0</v>
      </c>
      <c r="E13" s="1">
        <v>4.3263888888888886E-2</v>
      </c>
      <c r="F13" s="2">
        <f t="shared" si="1"/>
        <v>-4.3263888888888886E-2</v>
      </c>
      <c r="G13" t="s">
        <v>25</v>
      </c>
      <c r="H13" t="s">
        <v>29</v>
      </c>
      <c r="I13" t="s">
        <v>14</v>
      </c>
      <c r="J13" t="s">
        <v>12</v>
      </c>
    </row>
    <row r="14" spans="1:30" x14ac:dyDescent="0.2">
      <c r="A14" t="s">
        <v>31</v>
      </c>
      <c r="B14" t="s">
        <v>9</v>
      </c>
      <c r="C14">
        <v>3</v>
      </c>
      <c r="D14" s="1">
        <v>3.8009259259259257E-2</v>
      </c>
      <c r="E14" s="1">
        <v>3.740740740740741E-2</v>
      </c>
      <c r="F14" s="2">
        <f t="shared" si="1"/>
        <v>6.0185185185184648E-4</v>
      </c>
      <c r="G14" t="s">
        <v>32</v>
      </c>
      <c r="H14" t="s">
        <v>10</v>
      </c>
      <c r="I14" t="s">
        <v>11</v>
      </c>
      <c r="J14" t="s">
        <v>12</v>
      </c>
    </row>
    <row r="15" spans="1:30" x14ac:dyDescent="0.2">
      <c r="A15" t="s">
        <v>31</v>
      </c>
      <c r="B15" t="s">
        <v>9</v>
      </c>
      <c r="C15">
        <v>5</v>
      </c>
      <c r="D15" s="1">
        <v>3.8009259259259257E-2</v>
      </c>
      <c r="E15" s="1">
        <v>3.7442129629629631E-2</v>
      </c>
      <c r="F15" s="2">
        <f t="shared" si="1"/>
        <v>5.6712962962962576E-4</v>
      </c>
      <c r="G15" t="s">
        <v>32</v>
      </c>
      <c r="H15" t="s">
        <v>10</v>
      </c>
      <c r="I15" t="s">
        <v>11</v>
      </c>
      <c r="J15" t="s">
        <v>12</v>
      </c>
    </row>
    <row r="16" spans="1:30" x14ac:dyDescent="0.2">
      <c r="A16" t="s">
        <v>31</v>
      </c>
      <c r="B16" t="s">
        <v>9</v>
      </c>
      <c r="C16">
        <v>3</v>
      </c>
      <c r="D16" s="1">
        <v>3.8009259259259257E-2</v>
      </c>
      <c r="E16" s="1">
        <v>3.7395833333333336E-2</v>
      </c>
      <c r="F16" s="2">
        <f t="shared" si="1"/>
        <v>6.1342592592592005E-4</v>
      </c>
      <c r="G16" s="1">
        <v>1.6863425925925928E-2</v>
      </c>
      <c r="I16" t="s">
        <v>13</v>
      </c>
      <c r="J16" t="s">
        <v>12</v>
      </c>
    </row>
    <row r="17" spans="1:11" x14ac:dyDescent="0.2">
      <c r="A17" t="s">
        <v>31</v>
      </c>
      <c r="B17" t="s">
        <v>9</v>
      </c>
      <c r="C17">
        <v>5</v>
      </c>
      <c r="D17" s="1">
        <v>3.8009259259259257E-2</v>
      </c>
      <c r="E17" s="1">
        <v>3.6851851851851851E-2</v>
      </c>
      <c r="F17" s="2">
        <f t="shared" si="1"/>
        <v>1.1574074074074056E-3</v>
      </c>
      <c r="G17" s="1">
        <v>1.7175925925925924E-2</v>
      </c>
      <c r="I17" t="s">
        <v>13</v>
      </c>
      <c r="J17" t="s">
        <v>12</v>
      </c>
      <c r="K17" t="s">
        <v>33</v>
      </c>
    </row>
    <row r="18" spans="1:11" x14ac:dyDescent="0.2">
      <c r="A18" t="s">
        <v>34</v>
      </c>
      <c r="B18" t="s">
        <v>41</v>
      </c>
      <c r="C18">
        <v>3</v>
      </c>
      <c r="E18" t="s">
        <v>37</v>
      </c>
      <c r="F18" s="2" t="e">
        <f t="shared" si="1"/>
        <v>#VALUE!</v>
      </c>
      <c r="G18" s="1">
        <v>2.0833333333333333E-3</v>
      </c>
      <c r="I18" t="s">
        <v>11</v>
      </c>
      <c r="J18" t="s">
        <v>12</v>
      </c>
    </row>
    <row r="19" spans="1:11" x14ac:dyDescent="0.2">
      <c r="A19" t="s">
        <v>34</v>
      </c>
      <c r="B19" t="s">
        <v>41</v>
      </c>
      <c r="C19">
        <v>5</v>
      </c>
      <c r="E19" t="s">
        <v>25</v>
      </c>
      <c r="F19" s="2" t="e">
        <f t="shared" si="1"/>
        <v>#VALUE!</v>
      </c>
      <c r="G19" s="1">
        <v>2.0949074074074073E-3</v>
      </c>
      <c r="I19" t="s">
        <v>11</v>
      </c>
      <c r="J19" t="s">
        <v>12</v>
      </c>
      <c r="K19" t="s">
        <v>36</v>
      </c>
    </row>
    <row r="20" spans="1:11" x14ac:dyDescent="0.2">
      <c r="A20" t="s">
        <v>34</v>
      </c>
      <c r="B20" t="s">
        <v>41</v>
      </c>
      <c r="C20">
        <v>3</v>
      </c>
      <c r="F20" s="2">
        <f t="shared" si="1"/>
        <v>0</v>
      </c>
      <c r="G20" s="1">
        <v>2.0833333333333333E-3</v>
      </c>
      <c r="I20" t="s">
        <v>13</v>
      </c>
      <c r="J20" t="s">
        <v>12</v>
      </c>
      <c r="K20" t="s">
        <v>40</v>
      </c>
    </row>
    <row r="21" spans="1:11" x14ac:dyDescent="0.2">
      <c r="A21" t="s">
        <v>34</v>
      </c>
      <c r="B21" t="s">
        <v>42</v>
      </c>
      <c r="C21">
        <v>5</v>
      </c>
      <c r="F21" s="2">
        <f t="shared" si="1"/>
        <v>0</v>
      </c>
      <c r="G21" s="1">
        <v>2.0949074074074073E-3</v>
      </c>
      <c r="I21" t="s">
        <v>13</v>
      </c>
      <c r="J21" t="s">
        <v>12</v>
      </c>
    </row>
    <row r="22" spans="1:11" x14ac:dyDescent="0.2">
      <c r="A22" t="s">
        <v>43</v>
      </c>
      <c r="B22" t="s">
        <v>44</v>
      </c>
      <c r="C22">
        <v>3</v>
      </c>
      <c r="F22" s="2">
        <f t="shared" si="1"/>
        <v>0</v>
      </c>
      <c r="I22" t="s">
        <v>11</v>
      </c>
      <c r="J22" t="s">
        <v>12</v>
      </c>
    </row>
    <row r="23" spans="1:11" x14ac:dyDescent="0.2">
      <c r="A23" t="s">
        <v>43</v>
      </c>
      <c r="C23">
        <v>5</v>
      </c>
      <c r="F23" s="2">
        <f t="shared" si="1"/>
        <v>0</v>
      </c>
      <c r="I23" t="s">
        <v>11</v>
      </c>
      <c r="J23" t="s">
        <v>12</v>
      </c>
      <c r="K23" t="s">
        <v>45</v>
      </c>
    </row>
    <row r="24" spans="1:11" x14ac:dyDescent="0.2">
      <c r="A24" t="s">
        <v>43</v>
      </c>
      <c r="C24">
        <v>3</v>
      </c>
      <c r="D24" t="s">
        <v>47</v>
      </c>
      <c r="F24" s="2" t="e">
        <f t="shared" si="1"/>
        <v>#VALUE!</v>
      </c>
      <c r="I24" t="s">
        <v>13</v>
      </c>
      <c r="J24" t="s">
        <v>12</v>
      </c>
    </row>
    <row r="25" spans="1:11" x14ac:dyDescent="0.2">
      <c r="A25" t="s">
        <v>43</v>
      </c>
      <c r="C25">
        <v>5</v>
      </c>
      <c r="F25" s="2">
        <f t="shared" si="1"/>
        <v>0</v>
      </c>
      <c r="G25" t="s">
        <v>35</v>
      </c>
      <c r="I25" t="s">
        <v>13</v>
      </c>
      <c r="J25" t="s">
        <v>12</v>
      </c>
    </row>
    <row r="26" spans="1:11" x14ac:dyDescent="0.2">
      <c r="A26" t="s">
        <v>46</v>
      </c>
      <c r="B26" t="s">
        <v>50</v>
      </c>
      <c r="C26">
        <v>3</v>
      </c>
      <c r="D26" t="s">
        <v>47</v>
      </c>
      <c r="F26" s="2" t="e">
        <f t="shared" si="1"/>
        <v>#VALUE!</v>
      </c>
      <c r="I26" t="s">
        <v>11</v>
      </c>
      <c r="J26" t="s">
        <v>12</v>
      </c>
      <c r="K26" t="s">
        <v>51</v>
      </c>
    </row>
    <row r="27" spans="1:11" x14ac:dyDescent="0.2">
      <c r="A27" t="s">
        <v>46</v>
      </c>
      <c r="B27" t="s">
        <v>50</v>
      </c>
      <c r="C27">
        <v>5</v>
      </c>
      <c r="E27" s="1" t="s">
        <v>48</v>
      </c>
      <c r="F27" s="2" t="e">
        <f t="shared" si="1"/>
        <v>#VALUE!</v>
      </c>
      <c r="I27" t="s">
        <v>11</v>
      </c>
      <c r="J27" t="s">
        <v>12</v>
      </c>
    </row>
    <row r="28" spans="1:11" x14ac:dyDescent="0.2">
      <c r="A28" t="s">
        <v>46</v>
      </c>
      <c r="B28" t="s">
        <v>50</v>
      </c>
      <c r="C28">
        <v>3</v>
      </c>
      <c r="E28" s="1">
        <v>2.685185185185185E-3</v>
      </c>
      <c r="F28" s="2">
        <f t="shared" si="1"/>
        <v>-2.685185185185185E-3</v>
      </c>
      <c r="I28" t="s">
        <v>13</v>
      </c>
      <c r="J28" t="s">
        <v>12</v>
      </c>
    </row>
    <row r="29" spans="1:11" x14ac:dyDescent="0.2">
      <c r="A29" t="s">
        <v>46</v>
      </c>
      <c r="B29" t="s">
        <v>50</v>
      </c>
      <c r="C29">
        <v>5</v>
      </c>
      <c r="E29" s="1">
        <v>2.7083333333333334E-3</v>
      </c>
      <c r="F29" s="2">
        <f t="shared" si="1"/>
        <v>-2.7083333333333334E-3</v>
      </c>
      <c r="I29" t="s">
        <v>13</v>
      </c>
      <c r="J29" t="s">
        <v>12</v>
      </c>
    </row>
    <row r="30" spans="1:11" x14ac:dyDescent="0.2">
      <c r="A30" t="s">
        <v>49</v>
      </c>
      <c r="C30">
        <v>3</v>
      </c>
      <c r="F30" s="2">
        <f t="shared" si="1"/>
        <v>0</v>
      </c>
      <c r="G30" s="1">
        <v>9.6064814814814819E-4</v>
      </c>
      <c r="I30" t="s">
        <v>11</v>
      </c>
      <c r="J30" t="s">
        <v>12</v>
      </c>
    </row>
    <row r="31" spans="1:11" x14ac:dyDescent="0.2">
      <c r="A31" t="s">
        <v>49</v>
      </c>
      <c r="C31">
        <v>5</v>
      </c>
      <c r="F31" s="2">
        <f t="shared" si="1"/>
        <v>0</v>
      </c>
      <c r="G31" s="1">
        <v>9.7222222222222219E-4</v>
      </c>
      <c r="I31" t="s">
        <v>11</v>
      </c>
      <c r="J31" t="s">
        <v>12</v>
      </c>
    </row>
    <row r="32" spans="1:11" x14ac:dyDescent="0.2">
      <c r="A32" t="s">
        <v>49</v>
      </c>
      <c r="C32">
        <v>3</v>
      </c>
      <c r="D32" s="1">
        <v>0</v>
      </c>
      <c r="E32" t="s">
        <v>25</v>
      </c>
      <c r="F32" s="2" t="e">
        <f t="shared" si="1"/>
        <v>#VALUE!</v>
      </c>
      <c r="G32" s="1">
        <v>2.627314814814815E-3</v>
      </c>
      <c r="I32" t="s">
        <v>13</v>
      </c>
      <c r="J32" t="s">
        <v>12</v>
      </c>
      <c r="K32" t="s">
        <v>52</v>
      </c>
    </row>
    <row r="33" spans="1:19" x14ac:dyDescent="0.2">
      <c r="A33" t="s">
        <v>49</v>
      </c>
      <c r="C33">
        <v>5</v>
      </c>
      <c r="D33" s="1">
        <v>0</v>
      </c>
      <c r="E33" t="s">
        <v>25</v>
      </c>
      <c r="F33" s="2" t="e">
        <f t="shared" si="1"/>
        <v>#VALUE!</v>
      </c>
      <c r="G33" s="1">
        <v>2.8472222222222223E-3</v>
      </c>
      <c r="I33" t="s">
        <v>13</v>
      </c>
      <c r="J33" t="s">
        <v>12</v>
      </c>
      <c r="K33" t="s">
        <v>53</v>
      </c>
    </row>
    <row r="34" spans="1:19" x14ac:dyDescent="0.2">
      <c r="A34" s="3" t="s">
        <v>56</v>
      </c>
      <c r="C34">
        <v>3</v>
      </c>
      <c r="D34" s="1">
        <v>1.818287037037037E-2</v>
      </c>
      <c r="E34" s="1">
        <v>1.2708333333333334E-2</v>
      </c>
      <c r="F34" s="2">
        <f t="shared" si="1"/>
        <v>5.4745370370370364E-3</v>
      </c>
      <c r="G34" s="1">
        <v>1.2766203703703703E-2</v>
      </c>
      <c r="I34" t="s">
        <v>11</v>
      </c>
      <c r="J34" t="s">
        <v>12</v>
      </c>
    </row>
    <row r="35" spans="1:19" x14ac:dyDescent="0.2">
      <c r="A35" s="3" t="s">
        <v>54</v>
      </c>
      <c r="C35">
        <v>5</v>
      </c>
      <c r="D35" s="1">
        <v>1.818287037037037E-2</v>
      </c>
      <c r="E35" s="1">
        <v>1.2719907407407407E-2</v>
      </c>
      <c r="F35" s="2">
        <f>D35-E35</f>
        <v>5.4629629629629629E-3</v>
      </c>
      <c r="G35" s="1">
        <v>1.2789351851851852E-2</v>
      </c>
      <c r="I35" t="s">
        <v>11</v>
      </c>
      <c r="J35" t="s">
        <v>12</v>
      </c>
      <c r="K35" t="s">
        <v>55</v>
      </c>
    </row>
    <row r="36" spans="1:19" x14ac:dyDescent="0.2">
      <c r="A36" s="3" t="s">
        <v>54</v>
      </c>
      <c r="C36">
        <v>3</v>
      </c>
      <c r="D36" s="1">
        <v>1.818287037037037E-2</v>
      </c>
      <c r="E36" s="1">
        <v>1.2708333333333334E-2</v>
      </c>
      <c r="F36" s="2">
        <f t="shared" ref="F36:F45" si="2">D36-E36</f>
        <v>5.4745370370370364E-3</v>
      </c>
      <c r="G36" s="1">
        <v>1.275462962962963E-2</v>
      </c>
      <c r="I36" t="s">
        <v>13</v>
      </c>
      <c r="J36" t="s">
        <v>12</v>
      </c>
    </row>
    <row r="37" spans="1:19" x14ac:dyDescent="0.2">
      <c r="A37" s="3" t="s">
        <v>54</v>
      </c>
      <c r="C37">
        <v>5</v>
      </c>
      <c r="D37" s="1">
        <v>1.818287037037037E-2</v>
      </c>
      <c r="E37" s="1">
        <v>1.2719907407407407E-2</v>
      </c>
      <c r="F37" s="2">
        <f t="shared" si="2"/>
        <v>5.4629629629629629E-3</v>
      </c>
      <c r="G37" s="1">
        <v>1.2777777777777779E-2</v>
      </c>
      <c r="I37" t="s">
        <v>13</v>
      </c>
      <c r="J37" t="s">
        <v>12</v>
      </c>
      <c r="K37" t="s">
        <v>57</v>
      </c>
    </row>
    <row r="38" spans="1:19" x14ac:dyDescent="0.2">
      <c r="A38" s="3" t="s">
        <v>58</v>
      </c>
      <c r="C38">
        <v>3</v>
      </c>
      <c r="D38" s="1"/>
      <c r="E38" s="1">
        <v>1.2037037037037037E-2</v>
      </c>
      <c r="F38" s="2">
        <f t="shared" si="2"/>
        <v>-1.2037037037037037E-2</v>
      </c>
      <c r="G38" s="1">
        <v>9.3749999999999997E-4</v>
      </c>
      <c r="I38" t="s">
        <v>11</v>
      </c>
      <c r="J38" t="s">
        <v>12</v>
      </c>
    </row>
    <row r="39" spans="1:19" x14ac:dyDescent="0.2">
      <c r="A39" s="3" t="s">
        <v>58</v>
      </c>
      <c r="C39">
        <v>5</v>
      </c>
      <c r="E39" s="1">
        <v>1.2233796296296296E-2</v>
      </c>
      <c r="F39" s="2">
        <f t="shared" si="2"/>
        <v>-1.2233796296296296E-2</v>
      </c>
      <c r="G39" s="1">
        <v>1.1041666666666667E-2</v>
      </c>
      <c r="I39" t="s">
        <v>11</v>
      </c>
      <c r="J39" t="s">
        <v>12</v>
      </c>
      <c r="K39" t="s">
        <v>59</v>
      </c>
    </row>
    <row r="40" spans="1:19" x14ac:dyDescent="0.2">
      <c r="A40" s="3" t="s">
        <v>58</v>
      </c>
      <c r="C40">
        <v>3</v>
      </c>
      <c r="E40" s="1">
        <v>1.21875E-2</v>
      </c>
      <c r="F40" s="2">
        <f t="shared" si="2"/>
        <v>-1.21875E-2</v>
      </c>
      <c r="G40" s="1">
        <v>1.1724537037037037E-2</v>
      </c>
      <c r="I40" t="s">
        <v>13</v>
      </c>
      <c r="J40" t="s">
        <v>12</v>
      </c>
      <c r="K40" t="s">
        <v>60</v>
      </c>
      <c r="S40" t="s">
        <v>46</v>
      </c>
    </row>
    <row r="41" spans="1:19" x14ac:dyDescent="0.2">
      <c r="A41" s="3" t="s">
        <v>58</v>
      </c>
      <c r="C41">
        <v>5</v>
      </c>
      <c r="E41" s="1">
        <v>1.2268518518518519E-2</v>
      </c>
      <c r="F41" s="2">
        <f t="shared" si="2"/>
        <v>-1.2268518518518519E-2</v>
      </c>
      <c r="G41" s="1">
        <v>1.173611111111111E-2</v>
      </c>
      <c r="I41" t="s">
        <v>13</v>
      </c>
      <c r="J41" t="s">
        <v>12</v>
      </c>
      <c r="K41" t="s">
        <v>61</v>
      </c>
    </row>
    <row r="42" spans="1:19" x14ac:dyDescent="0.2">
      <c r="A42" s="3" t="s">
        <v>62</v>
      </c>
      <c r="C42">
        <v>3</v>
      </c>
      <c r="D42" s="1">
        <v>9.3402777777777779E-2</v>
      </c>
      <c r="E42" s="1">
        <v>9.6747685185185187E-2</v>
      </c>
      <c r="F42" s="2">
        <f t="shared" si="2"/>
        <v>-3.3449074074074076E-3</v>
      </c>
      <c r="G42" s="1">
        <v>2.0717592592592593E-3</v>
      </c>
      <c r="I42" t="s">
        <v>11</v>
      </c>
      <c r="J42" t="s">
        <v>12</v>
      </c>
    </row>
    <row r="43" spans="1:19" x14ac:dyDescent="0.2">
      <c r="A43" s="3" t="s">
        <v>62</v>
      </c>
      <c r="C43">
        <v>5</v>
      </c>
      <c r="D43" s="1">
        <v>9.3402777777777779E-2</v>
      </c>
      <c r="E43" s="1">
        <v>9.707175925925926E-2</v>
      </c>
      <c r="F43" s="2">
        <f t="shared" si="2"/>
        <v>-3.6689814814814814E-3</v>
      </c>
      <c r="G43" s="1">
        <v>7.0347222222222228E-2</v>
      </c>
      <c r="I43" t="s">
        <v>11</v>
      </c>
      <c r="J43" t="s">
        <v>12</v>
      </c>
    </row>
    <row r="44" spans="1:19" x14ac:dyDescent="0.2">
      <c r="A44" s="3" t="s">
        <v>62</v>
      </c>
      <c r="C44">
        <v>3</v>
      </c>
      <c r="D44" s="1">
        <v>9.3402777777777779E-2</v>
      </c>
      <c r="E44" s="1">
        <v>9.3078703703703705E-2</v>
      </c>
      <c r="F44" s="2">
        <f t="shared" si="2"/>
        <v>3.2407407407407385E-4</v>
      </c>
      <c r="G44" s="1">
        <v>9.2152777777777778E-2</v>
      </c>
      <c r="I44" t="s">
        <v>13</v>
      </c>
      <c r="J44" t="s">
        <v>12</v>
      </c>
    </row>
    <row r="45" spans="1:19" x14ac:dyDescent="0.2">
      <c r="A45" s="3" t="s">
        <v>62</v>
      </c>
      <c r="C45">
        <v>5</v>
      </c>
      <c r="D45" s="1">
        <v>9.3402777777777779E-2</v>
      </c>
      <c r="E45" s="1">
        <v>9.6747685185185187E-2</v>
      </c>
      <c r="F45" s="2">
        <f t="shared" si="2"/>
        <v>-3.3449074074074076E-3</v>
      </c>
      <c r="G45" t="s">
        <v>25</v>
      </c>
      <c r="I45" t="s">
        <v>13</v>
      </c>
      <c r="J45" t="s">
        <v>12</v>
      </c>
      <c r="K45" t="s">
        <v>63</v>
      </c>
    </row>
    <row r="46" spans="1:19" x14ac:dyDescent="0.2">
      <c r="A46" s="3" t="s">
        <v>64</v>
      </c>
      <c r="C46">
        <v>3</v>
      </c>
      <c r="E46" s="1">
        <v>8.4953703703703701E-3</v>
      </c>
      <c r="G46" s="1">
        <v>8.7962962962962962E-4</v>
      </c>
      <c r="I46" t="s">
        <v>11</v>
      </c>
      <c r="J46" t="s">
        <v>12</v>
      </c>
    </row>
    <row r="47" spans="1:19" x14ac:dyDescent="0.2">
      <c r="A47" s="3" t="s">
        <v>64</v>
      </c>
      <c r="C47">
        <v>5</v>
      </c>
      <c r="E47" s="1">
        <v>8.5069444444444437E-3</v>
      </c>
      <c r="G47" s="1">
        <v>9.1435185185185185E-4</v>
      </c>
      <c r="I47" t="s">
        <v>11</v>
      </c>
      <c r="J47" t="s">
        <v>12</v>
      </c>
      <c r="K47" t="s">
        <v>65</v>
      </c>
    </row>
    <row r="48" spans="1:19" x14ac:dyDescent="0.2">
      <c r="A48" s="3" t="s">
        <v>64</v>
      </c>
      <c r="C48">
        <v>3</v>
      </c>
      <c r="E48" s="1">
        <v>8.4490740740740741E-3</v>
      </c>
      <c r="G48" s="1">
        <v>8.1631944444444438E-2</v>
      </c>
      <c r="I48" t="s">
        <v>13</v>
      </c>
      <c r="J48" t="s">
        <v>12</v>
      </c>
    </row>
    <row r="49" spans="1:10" x14ac:dyDescent="0.2">
      <c r="A49" s="3" t="s">
        <v>64</v>
      </c>
      <c r="C49">
        <v>5</v>
      </c>
      <c r="E49" s="1">
        <v>8.5069444444444437E-3</v>
      </c>
      <c r="G49" s="1">
        <v>8.1666666666666665E-2</v>
      </c>
      <c r="I49" t="s">
        <v>13</v>
      </c>
      <c r="J49" t="s">
        <v>12</v>
      </c>
    </row>
    <row r="50" spans="1:10" x14ac:dyDescent="0.2">
      <c r="A50" s="3" t="s">
        <v>66</v>
      </c>
      <c r="C50">
        <v>3</v>
      </c>
      <c r="I50" t="s">
        <v>11</v>
      </c>
      <c r="J50" t="s">
        <v>12</v>
      </c>
    </row>
    <row r="51" spans="1:10" x14ac:dyDescent="0.2">
      <c r="A51" s="3" t="s">
        <v>66</v>
      </c>
      <c r="C51">
        <v>5</v>
      </c>
      <c r="I51" t="s">
        <v>11</v>
      </c>
      <c r="J51" t="s">
        <v>12</v>
      </c>
    </row>
    <row r="52" spans="1:10" x14ac:dyDescent="0.2">
      <c r="A52" s="3" t="s">
        <v>66</v>
      </c>
      <c r="C52">
        <v>3</v>
      </c>
      <c r="I52" t="s">
        <v>13</v>
      </c>
      <c r="J52" t="s">
        <v>12</v>
      </c>
    </row>
    <row r="53" spans="1:10" x14ac:dyDescent="0.2">
      <c r="A53" s="3" t="s">
        <v>66</v>
      </c>
      <c r="C53">
        <v>5</v>
      </c>
      <c r="I53" t="s">
        <v>13</v>
      </c>
      <c r="J53" t="s">
        <v>12</v>
      </c>
    </row>
    <row r="69" spans="19:19" x14ac:dyDescent="0.2">
      <c r="S69" t="s">
        <v>49</v>
      </c>
    </row>
    <row r="107" spans="19:19" x14ac:dyDescent="0.2">
      <c r="S107" s="3" t="s">
        <v>58</v>
      </c>
    </row>
    <row r="138" spans="19:19" x14ac:dyDescent="0.2">
      <c r="S138" s="3" t="s">
        <v>62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Benjamin Karlsen</dc:creator>
  <cp:lastModifiedBy>Casper Benjamin Karlsen</cp:lastModifiedBy>
  <dcterms:created xsi:type="dcterms:W3CDTF">2026-02-24T10:10:51Z</dcterms:created>
  <dcterms:modified xsi:type="dcterms:W3CDTF">2026-03-03T14:53:00Z</dcterms:modified>
</cp:coreProperties>
</file>